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<sst xmlns="http://schemas.openxmlformats.org/spreadsheetml/2006/main" count="175" uniqueCount="92">
  <si>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</si>
  <si>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</si>
  <si>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</si>
  <si>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</si>
  <si>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</si>
  <si>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</si>
  <si>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</si>
  <si>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</si>
  <si>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</si>
  <si>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</si>
  <si>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</si>
  <si>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</si>
  <si>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</si>
  <si>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</si>
  <si>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</si>
  <si>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</si>
  <si>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Put all interior lights on dimmers - the light in front of the bathroom is currently not on a dimmer</t>
  </si>
  <si>
    <t xml:space="preserve">Change exterior light from dimmer to standard on/off switch</t>
  </si>
  <si>
    <t xml:space="preserve">Currently on a dimmer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</si>
  <si>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</si>
  <si>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</si>
  <si>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</si>
  <si>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</si>
  <si>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</si>
  <si>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</si>
  <si>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</si>
  <si>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</si>
  <si>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</si>
  <si>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</si>
  <si>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</si>
  <si>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</si>
  <si>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</si>
  <si>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</si>
  <si>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</si>
  <si>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</si>
  <si>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</si>
  <si>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</si>
  <si>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</si>
  <si>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</si>
  <si>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</si>
  <si>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</si>
  <si>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</si>
  <si>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</si>
  <si>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</si>
  <si>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</si>
  <si>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</si>
  <si>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</si>
  <si>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</si>
  <si>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</si>
  <si>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</si>
  <si>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</si>
  <si>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</si>
  <si>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</si>
  <si>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</si>
  <si>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</si>
  <si>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</si>
  <si>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</si>
  <si>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</si>
  <si>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</si>
  <si>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</si>
  <si>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</si>
  <si>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</si>
  <si>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</si>
  <si>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</si>
  <si>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</si>
  <si>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</si>
  <si>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</si>
  <si>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</si>
  <si>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</si>
  <si>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</si>
  <si>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</si>
  <si>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</si>
  <si>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</si>
  <si>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</si>
  <si>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</si>
  <si>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</si>
  <si>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</si>
  <si>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</si>
  <si>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</si>
  <si>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</si>
  <si>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Drywall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</si>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</sst>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"/>
    <numFmt numFmtId="167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7" t="s">
        <v>15</v>
      </c>
      <c r="B4" s="7" t="s">
        <v>10</v>
      </c>
      <c r="C4" s="5" t="s">
        <v>16</v>
      </c>
      <c r="D4" s="7"/>
      <c r="E4" s="7" t="s">
        <v>12</v>
      </c>
      <c r="F4" s="7"/>
      <c r="G4" s="8"/>
      <c r="H4" s="5"/>
    </row>
    <row r="5" customFormat="false" ht="15" hidden="false" customHeight="true" outlineLevel="0" collapsed="false">
      <c r="A5" s="7" t="s">
        <v>15</v>
      </c>
      <c r="B5" s="7" t="s">
        <v>10</v>
      </c>
      <c r="C5" s="5" t="s">
        <v>17</v>
      </c>
      <c r="D5" s="7"/>
      <c r="E5" s="7" t="s">
        <v>12</v>
      </c>
      <c r="F5" s="7"/>
      <c r="G5" s="8"/>
      <c r="H5" s="5" t="s">
        <v>18</v>
      </c>
    </row>
    <row r="6" customFormat="false" ht="15" hidden="false" customHeight="true" outlineLevel="0" collapsed="false">
      <c r="A6" s="4" t="s">
        <v>15</v>
      </c>
      <c r="B6" s="4" t="s">
        <v>19</v>
      </c>
      <c r="C6" s="5" t="s">
        <v>20</v>
      </c>
      <c r="D6" s="4"/>
      <c r="E6" s="4" t="s">
        <v>12</v>
      </c>
      <c r="F6" s="4"/>
      <c r="G6" s="6"/>
      <c r="H6" s="5"/>
    </row>
    <row r="7" customFormat="false" ht="15" hidden="false" customHeight="true" outlineLevel="0" collapsed="false">
      <c r="A7" s="4" t="s">
        <v>15</v>
      </c>
      <c r="B7" s="4" t="s">
        <v>21</v>
      </c>
      <c r="C7" s="5" t="s">
        <v>22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23</v>
      </c>
      <c r="B8" s="4" t="s">
        <v>10</v>
      </c>
      <c r="C8" s="5" t="s">
        <v>24</v>
      </c>
      <c r="D8" s="4"/>
      <c r="E8" s="4" t="s">
        <v>12</v>
      </c>
      <c r="F8" s="4"/>
      <c r="G8" s="6"/>
      <c r="H8" s="5" t="s">
        <v>25</v>
      </c>
    </row>
    <row r="9" customFormat="false" ht="15" hidden="false" customHeight="true" outlineLevel="0" collapsed="false">
      <c r="A9" s="4" t="s">
        <v>23</v>
      </c>
      <c r="B9" s="4" t="s">
        <v>10</v>
      </c>
      <c r="C9" s="5" t="s">
        <v>26</v>
      </c>
      <c r="D9" s="4"/>
      <c r="E9" s="4" t="s">
        <v>12</v>
      </c>
      <c r="F9" s="4"/>
      <c r="G9" s="6"/>
      <c r="H9" s="5"/>
    </row>
    <row r="10" customFormat="false" ht="15" hidden="false" customHeight="true" outlineLevel="0" collapsed="false">
      <c r="A10" s="4" t="s">
        <v>27</v>
      </c>
      <c r="B10" s="4" t="s">
        <v>28</v>
      </c>
      <c r="C10" s="5" t="s">
        <v>29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4" t="s">
        <v>30</v>
      </c>
      <c r="B11" s="4" t="s">
        <v>10</v>
      </c>
      <c r="C11" s="5" t="s">
        <v>31</v>
      </c>
      <c r="D11" s="4"/>
      <c r="E11" s="4" t="s">
        <v>12</v>
      </c>
      <c r="F11" s="4"/>
      <c r="G11" s="6"/>
      <c r="H11" s="5" t="s">
        <v>32</v>
      </c>
    </row>
    <row r="12" customFormat="false" ht="15" hidden="false" customHeight="true" outlineLevel="0" collapsed="false">
      <c r="A12" s="4" t="s">
        <v>30</v>
      </c>
      <c r="B12" s="4" t="s">
        <v>19</v>
      </c>
      <c r="C12" s="5" t="s">
        <v>33</v>
      </c>
      <c r="D12" s="4"/>
      <c r="E12" s="4" t="s">
        <v>12</v>
      </c>
      <c r="F12" s="4"/>
      <c r="G12" s="6"/>
      <c r="H12" s="5"/>
    </row>
    <row r="13" customFormat="false" ht="15" hidden="false" customHeight="true" outlineLevel="0" collapsed="false">
      <c r="A13" s="4" t="s">
        <v>34</v>
      </c>
      <c r="B13" s="4" t="s">
        <v>35</v>
      </c>
      <c r="C13" s="5" t="s">
        <v>36</v>
      </c>
      <c r="D13" s="4"/>
      <c r="E13" s="4" t="s">
        <v>12</v>
      </c>
      <c r="F13" s="4"/>
      <c r="G13" s="6"/>
      <c r="H13" s="5" t="s">
        <v>37</v>
      </c>
    </row>
    <row r="14" customFormat="false" ht="15" hidden="false" customHeight="true" outlineLevel="0" collapsed="false">
      <c r="A14" s="4" t="s">
        <v>38</v>
      </c>
      <c r="B14" s="4" t="s">
        <v>35</v>
      </c>
      <c r="C14" s="5" t="s">
        <v>39</v>
      </c>
      <c r="D14" s="4"/>
      <c r="E14" s="4" t="s">
        <v>12</v>
      </c>
      <c r="F14" s="4"/>
      <c r="G14" s="6"/>
      <c r="H14" s="5" t="s">
        <v>40</v>
      </c>
    </row>
    <row r="15" customFormat="false" ht="15" hidden="false" customHeight="true" outlineLevel="0" collapsed="false">
      <c r="A15" s="4" t="s">
        <v>41</v>
      </c>
      <c r="B15" s="4" t="s">
        <v>10</v>
      </c>
      <c r="C15" s="5" t="s">
        <v>42</v>
      </c>
      <c r="D15" s="4"/>
      <c r="E15" s="4" t="s">
        <v>12</v>
      </c>
      <c r="F15" s="4"/>
      <c r="G15" s="6"/>
      <c r="H15" s="5"/>
    </row>
    <row r="16" customFormat="false" ht="15" hidden="false" customHeight="true" outlineLevel="0" collapsed="false">
      <c r="A16" s="4" t="s">
        <v>41</v>
      </c>
      <c r="B16" s="4" t="s">
        <v>10</v>
      </c>
      <c r="C16" s="5" t="s">
        <v>43</v>
      </c>
      <c r="D16" s="4"/>
      <c r="E16" s="4" t="s">
        <v>12</v>
      </c>
      <c r="F16" s="4"/>
      <c r="G16" s="6"/>
      <c r="H16" s="5"/>
    </row>
    <row r="17" customFormat="false" ht="15" hidden="false" customHeight="true" outlineLevel="0" collapsed="false">
      <c r="A17" s="4" t="s">
        <v>41</v>
      </c>
      <c r="B17" s="4" t="s">
        <v>28</v>
      </c>
      <c r="C17" s="5" t="s">
        <v>44</v>
      </c>
      <c r="D17" s="4"/>
      <c r="E17" s="4" t="s">
        <v>12</v>
      </c>
      <c r="F17" s="4"/>
      <c r="G17" s="6"/>
      <c r="H17" s="5"/>
    </row>
    <row r="18" customFormat="false" ht="15" hidden="false" customHeight="true" outlineLevel="0" collapsed="false">
      <c r="A18" s="4" t="s">
        <v>45</v>
      </c>
      <c r="B18" s="4" t="s">
        <v>10</v>
      </c>
      <c r="C18" s="5" t="s">
        <v>46</v>
      </c>
      <c r="D18" s="4"/>
      <c r="E18" s="4" t="s">
        <v>12</v>
      </c>
      <c r="F18" s="4"/>
      <c r="G18" s="6"/>
      <c r="H18" s="5" t="s">
        <v>47</v>
      </c>
    </row>
    <row r="19" customFormat="false" ht="15" hidden="false" customHeight="true" outlineLevel="0" collapsed="false">
      <c r="A19" s="4" t="s">
        <v>48</v>
      </c>
      <c r="B19" s="4" t="s">
        <v>10</v>
      </c>
      <c r="C19" s="5" t="s">
        <v>49</v>
      </c>
      <c r="D19" s="4"/>
      <c r="E19" s="4" t="s">
        <v>12</v>
      </c>
      <c r="F19" s="4"/>
      <c r="G19" s="6"/>
      <c r="H19" s="5" t="s">
        <v>50</v>
      </c>
    </row>
    <row r="20" customFormat="false" ht="15" hidden="false" customHeight="true" outlineLevel="0" collapsed="false">
      <c r="A20" s="4" t="s">
        <v>51</v>
      </c>
      <c r="B20" s="4" t="s">
        <v>10</v>
      </c>
      <c r="C20" s="5" t="s">
        <v>52</v>
      </c>
      <c r="D20" s="4"/>
      <c r="E20" s="4" t="s">
        <v>12</v>
      </c>
      <c r="F20" s="4"/>
      <c r="G20" s="6"/>
      <c r="H20" s="5"/>
    </row>
    <row r="21" customFormat="false" ht="15" hidden="false" customHeight="true" outlineLevel="0" collapsed="false">
      <c r="A21" s="4" t="s">
        <v>53</v>
      </c>
      <c r="B21" s="4" t="s">
        <v>10</v>
      </c>
      <c r="C21" s="5" t="s">
        <v>52</v>
      </c>
      <c r="D21" s="4"/>
      <c r="E21" s="4" t="s">
        <v>12</v>
      </c>
      <c r="F21" s="4"/>
      <c r="G21" s="6"/>
      <c r="H21" s="5"/>
    </row>
    <row r="22" customFormat="false" ht="15" hidden="false" customHeight="true" outlineLevel="0" collapsed="false">
      <c r="A22" s="4" t="s">
        <v>54</v>
      </c>
      <c r="B22" s="4" t="s">
        <v>55</v>
      </c>
      <c r="C22" s="5" t="s">
        <v>56</v>
      </c>
      <c r="D22" s="4"/>
      <c r="E22" s="4" t="s">
        <v>12</v>
      </c>
      <c r="F22" s="4"/>
      <c r="G22" s="6"/>
      <c r="H22" s="5"/>
    </row>
    <row r="23" customFormat="false" ht="15" hidden="false" customHeight="true" outlineLevel="0" collapsed="false">
      <c r="A23" s="4" t="s">
        <v>54</v>
      </c>
      <c r="B23" s="4" t="s">
        <v>55</v>
      </c>
      <c r="C23" s="5" t="s">
        <v>57</v>
      </c>
      <c r="D23" s="4"/>
      <c r="E23" s="4" t="s">
        <v>12</v>
      </c>
      <c r="F23" s="4"/>
      <c r="G23" s="6"/>
      <c r="H23" s="5"/>
    </row>
    <row r="24" customFormat="false" ht="15" hidden="false" customHeight="true" outlineLevel="0" collapsed="false">
      <c r="A24" s="4" t="s">
        <v>58</v>
      </c>
      <c r="B24" s="4" t="s">
        <v>35</v>
      </c>
      <c r="C24" s="5" t="s">
        <v>59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58</v>
      </c>
      <c r="B25" s="4" t="s">
        <v>35</v>
      </c>
      <c r="C25" s="5" t="s">
        <v>60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 t="s">
        <v>58</v>
      </c>
      <c r="B26" s="4" t="s">
        <v>10</v>
      </c>
      <c r="C26" s="5" t="s">
        <v>61</v>
      </c>
      <c r="D26" s="4"/>
      <c r="E26" s="4" t="s">
        <v>12</v>
      </c>
      <c r="F26" s="4"/>
      <c r="G26" s="6"/>
      <c r="H26" s="5"/>
    </row>
    <row r="27" customFormat="false" ht="15" hidden="false" customHeight="true" outlineLevel="0" collapsed="false">
      <c r="A27" s="4" t="s">
        <v>58</v>
      </c>
      <c r="B27" s="4" t="s">
        <v>62</v>
      </c>
      <c r="C27" s="5" t="s">
        <v>63</v>
      </c>
      <c r="D27" s="4"/>
      <c r="E27" s="4" t="s">
        <v>12</v>
      </c>
      <c r="F27" s="4"/>
      <c r="G27" s="6"/>
      <c r="H27" s="5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6"/>
      <c r="H28" s="5"/>
    </row>
    <row r="29" customFormat="false" ht="15" hidden="false" customHeight="true" outlineLevel="0" collapsed="false">
      <c r="A29" s="4"/>
      <c r="B29" s="4"/>
      <c r="C29" s="5"/>
      <c r="D29" s="4"/>
      <c r="E29" s="4"/>
      <c r="F29" s="4"/>
      <c r="G29" s="6"/>
      <c r="H29" s="5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6"/>
      <c r="H30" s="5"/>
    </row>
    <row r="31" customFormat="false" ht="15" hidden="false" customHeight="true" outlineLevel="0" collapsed="false">
      <c r="A31" s="4"/>
      <c r="B31" s="4"/>
      <c r="C31" s="5"/>
      <c r="D31" s="4"/>
      <c r="E31" s="4"/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  <row r="501" customFormat="false" ht="15" hidden="false" customHeight="false" outlineLevel="0" collapsed="false">
      <c r="A501" s="4"/>
      <c r="B501" s="4"/>
      <c r="C501" s="5"/>
      <c r="D501" s="4"/>
      <c r="E501" s="4"/>
      <c r="F501" s="4"/>
      <c r="G501" s="6"/>
      <c r="H501" s="5"/>
    </row>
    <row r="502" customFormat="false" ht="15" hidden="false" customHeight="false" outlineLevel="0" collapsed="false">
      <c r="A502" s="4"/>
      <c r="B502" s="4"/>
      <c r="C502" s="5"/>
      <c r="D502" s="4"/>
      <c r="E502" s="4"/>
      <c r="F502" s="4"/>
      <c r="G502" s="6"/>
      <c r="H502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9" t="s">
        <v>64</v>
      </c>
      <c r="B1" s="9" t="s">
        <v>65</v>
      </c>
      <c r="C1" s="9" t="s">
        <v>66</v>
      </c>
      <c r="D1" s="9" t="s">
        <v>67</v>
      </c>
      <c r="F1" s="10" t="s">
        <v>68</v>
      </c>
    </row>
    <row r="2" customFormat="false" ht="15" hidden="false" customHeight="true" outlineLevel="0" collapsed="false">
      <c r="A2" s="11" t="s">
        <v>69</v>
      </c>
      <c r="B2" s="11" t="s">
        <v>28</v>
      </c>
      <c r="C2" s="11" t="s">
        <v>12</v>
      </c>
      <c r="D2" s="11" t="s">
        <v>70</v>
      </c>
    </row>
    <row r="3" customFormat="false" ht="15" hidden="false" customHeight="true" outlineLevel="0" collapsed="false">
      <c r="A3" s="11" t="s">
        <v>71</v>
      </c>
      <c r="B3" s="11" t="s">
        <v>10</v>
      </c>
      <c r="C3" s="11" t="s">
        <v>72</v>
      </c>
      <c r="D3" s="11" t="s">
        <v>73</v>
      </c>
    </row>
    <row r="4" customFormat="false" ht="15" hidden="false" customHeight="true" outlineLevel="0" collapsed="false">
      <c r="A4" s="11" t="s">
        <v>74</v>
      </c>
      <c r="B4" s="11" t="s">
        <v>75</v>
      </c>
      <c r="C4" s="11" t="s">
        <v>76</v>
      </c>
      <c r="D4" s="11" t="s">
        <v>77</v>
      </c>
    </row>
    <row r="5" customFormat="false" ht="15" hidden="false" customHeight="true" outlineLevel="0" collapsed="false">
      <c r="A5" s="11" t="s">
        <v>15</v>
      </c>
      <c r="B5" s="11" t="s">
        <v>55</v>
      </c>
      <c r="C5" s="11" t="s">
        <v>78</v>
      </c>
    </row>
    <row r="6" customFormat="false" ht="15" hidden="false" customHeight="true" outlineLevel="0" collapsed="false">
      <c r="A6" s="11" t="s">
        <v>79</v>
      </c>
      <c r="B6" s="11" t="s">
        <v>35</v>
      </c>
    </row>
    <row r="7" customFormat="false" ht="15" hidden="false" customHeight="true" outlineLevel="0" collapsed="false">
      <c r="A7" s="11" t="s">
        <v>9</v>
      </c>
      <c r="B7" s="11" t="s">
        <v>80</v>
      </c>
    </row>
    <row r="8" customFormat="false" ht="15" hidden="false" customHeight="true" outlineLevel="0" collapsed="false">
      <c r="A8" s="11" t="s">
        <v>30</v>
      </c>
      <c r="B8" s="11" t="s">
        <v>19</v>
      </c>
    </row>
    <row r="9" customFormat="false" ht="15" hidden="false" customHeight="true" outlineLevel="0" collapsed="false">
      <c r="A9" s="11" t="s">
        <v>81</v>
      </c>
      <c r="B9" s="11" t="s">
        <v>82</v>
      </c>
    </row>
    <row r="10" customFormat="false" ht="15" hidden="false" customHeight="true" outlineLevel="0" collapsed="false">
      <c r="A10" s="11" t="s">
        <v>27</v>
      </c>
      <c r="B10" s="11" t="s">
        <v>83</v>
      </c>
    </row>
    <row r="11" customFormat="false" ht="15" hidden="false" customHeight="true" outlineLevel="0" collapsed="false">
      <c r="A11" s="11" t="s">
        <v>34</v>
      </c>
      <c r="B11" s="11" t="s">
        <v>21</v>
      </c>
    </row>
    <row r="12" customFormat="false" ht="15" hidden="false" customHeight="true" outlineLevel="0" collapsed="false">
      <c r="A12" s="11" t="s">
        <v>84</v>
      </c>
      <c r="B12" s="11" t="s">
        <v>85</v>
      </c>
    </row>
    <row r="13" customFormat="false" ht="15" hidden="false" customHeight="true" outlineLevel="0" collapsed="false">
      <c r="A13" s="11" t="s">
        <v>23</v>
      </c>
      <c r="B13" s="11" t="s">
        <v>86</v>
      </c>
    </row>
    <row r="14" customFormat="false" ht="15" hidden="false" customHeight="true" outlineLevel="0" collapsed="false">
      <c r="A14" s="11" t="s">
        <v>38</v>
      </c>
      <c r="B14" s="11" t="s">
        <v>87</v>
      </c>
    </row>
    <row r="15" customFormat="false" ht="15" hidden="false" customHeight="true" outlineLevel="0" collapsed="false">
      <c r="A15" s="11" t="s">
        <v>41</v>
      </c>
      <c r="B15" s="11" t="s">
        <v>88</v>
      </c>
    </row>
    <row r="16" customFormat="false" ht="15" hidden="false" customHeight="true" outlineLevel="0" collapsed="false">
      <c r="A16" s="11" t="s">
        <v>45</v>
      </c>
      <c r="B16" s="11" t="s">
        <v>62</v>
      </c>
    </row>
    <row r="17" customFormat="false" ht="15" hidden="false" customHeight="true" outlineLevel="0" collapsed="false">
      <c r="A17" s="11" t="s">
        <v>48</v>
      </c>
    </row>
    <row r="18" customFormat="false" ht="15" hidden="false" customHeight="true" outlineLevel="0" collapsed="false">
      <c r="A18" s="11" t="s">
        <v>51</v>
      </c>
    </row>
    <row r="19" customFormat="false" ht="15" hidden="false" customHeight="true" outlineLevel="0" collapsed="false">
      <c r="A19" s="11" t="s">
        <v>53</v>
      </c>
    </row>
    <row r="20" customFormat="false" ht="15" hidden="false" customHeight="true" outlineLevel="0" collapsed="false">
      <c r="A20" s="11" t="s">
        <v>54</v>
      </c>
    </row>
    <row r="21" customFormat="false" ht="15" hidden="false" customHeight="true" outlineLevel="0" collapsed="false">
      <c r="A21" s="1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2" t="s">
        <v>89</v>
      </c>
    </row>
    <row r="3" customFormat="false" ht="15" hidden="false" customHeight="true" outlineLevel="0" collapsed="false">
      <c r="A3" s="11" t="s">
        <v>90</v>
      </c>
      <c r="B3" s="13" t="n">
        <f aca="false">COUNTA('Punch List'!C2:C500)</f>
        <v>26</v>
      </c>
    </row>
    <row r="4" customFormat="false" ht="15" hidden="false" customHeight="true" outlineLevel="0" collapsed="false">
      <c r="A4" s="11" t="s">
        <v>12</v>
      </c>
      <c r="B4" s="13" t="n">
        <f aca="false">COUNTIF('Punch List'!E2:E500,"Not Started")</f>
        <v>26</v>
      </c>
    </row>
    <row r="5" customFormat="false" ht="15" hidden="false" customHeight="true" outlineLevel="0" collapsed="false">
      <c r="A5" s="11" t="s">
        <v>72</v>
      </c>
      <c r="B5" s="13" t="n">
        <f aca="false">COUNTIF('Punch List'!E2:E500,"In Progress")</f>
        <v>0</v>
      </c>
    </row>
    <row r="6" customFormat="false" ht="15" hidden="false" customHeight="true" outlineLevel="0" collapsed="false">
      <c r="A6" s="11" t="s">
        <v>76</v>
      </c>
      <c r="B6" s="13" t="n">
        <f aca="false">COUNTIF('Punch List'!E2:E500,"Blocked")</f>
        <v>0</v>
      </c>
    </row>
    <row r="7" customFormat="false" ht="15" hidden="false" customHeight="true" outlineLevel="0" collapsed="false">
      <c r="A7" s="11" t="s">
        <v>78</v>
      </c>
      <c r="B7" s="13" t="n">
        <f aca="false">COUNTIF('Punch List'!E2:E500,"Done")</f>
        <v>0</v>
      </c>
    </row>
    <row r="8" customFormat="false" ht="15" hidden="false" customHeight="true" outlineLevel="0" collapsed="false">
      <c r="A8" s="11" t="s">
        <v>91</v>
      </c>
      <c r="B8" s="14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2026-07-24T04:06:00Z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